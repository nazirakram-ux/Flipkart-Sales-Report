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Yearly Performance" sheetId="2" state="visible" r:id="rId4"/>
    <sheet name="Category Analysis" sheetId="3" state="visible" r:id="rId5"/>
    <sheet name="Zone &amp; Delivery" sheetId="4" state="visible" r:id="rId6"/>
    <sheet name="Customer Insights" sheetId="5" state="visible" r:id="rId7"/>
  </sheets>
  <definedNames>
    <definedName function="false" hidden="false" localSheetId="2" name="_xlnm.Print_Titles" vbProcedure="false">'Category Analysis'!$1:$2</definedName>
    <definedName function="false" hidden="false" localSheetId="4" name="_xlnm.Print_Titles" vbProcedure="false">'Customer Insights'!$1:$2</definedName>
    <definedName function="false" hidden="false" localSheetId="0" name="_xlnm.Print_Titles" vbProcedure="false">'Executive Summary'!$1:$2</definedName>
    <definedName function="false" hidden="false" localSheetId="1" name="_xlnm.Print_Titles" vbProcedure="false">'Yearly Performance'!$1:$2</definedName>
    <definedName function="false" hidden="false" localSheetId="3" name="_xlnm.Print_Titles" vbProcedure="false">'Zone &amp; Delivery'!$1:$2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<sst xmlns="http://schemas.openxmlformats.org/spreadsheetml/2006/main" count="171" uniqueCount="136">
  <si>
    <t xml:space="preserve">FLIPKART SALES — EXECUTIVE REPORT  |  2015–2020</t>
  </si>
  <si>
    <t xml:space="preserve">Based on 113,000 orders across 5 product categories and 4 geographic zones</t>
  </si>
  <si>
    <t xml:space="preserve">KEY PERFORMANCE INDICATORS</t>
  </si>
  <si>
    <t xml:space="preserve">Metric</t>
  </si>
  <si>
    <t xml:space="preserve">Value</t>
  </si>
  <si>
    <t xml:space="preserve">Definition</t>
  </si>
  <si>
    <t xml:space="preserve">Status</t>
  </si>
  <si>
    <t xml:space="preserve">Total Orders</t>
  </si>
  <si>
    <t xml:space="preserve">113,000</t>
  </si>
  <si>
    <t xml:space="preserve">Count of unique order rows</t>
  </si>
  <si>
    <t xml:space="preserve">—</t>
  </si>
  <si>
    <t xml:space="preserve">Total Customers</t>
  </si>
  <si>
    <t xml:space="preserve">Distinct customer IDs</t>
  </si>
  <si>
    <t xml:space="preserve">Item Sales Value</t>
  </si>
  <si>
    <t xml:space="preserve">₹135,611,346</t>
  </si>
  <si>
    <t xml:space="preserve">Sale Price × Order Quantity</t>
  </si>
  <si>
    <t xml:space="preserve">Realized Sales Value</t>
  </si>
  <si>
    <t xml:space="preserve">₹98,889,716</t>
  </si>
  <si>
    <t xml:space="preserve">Item sales value – Delivered orders only</t>
  </si>
  <si>
    <t xml:space="preserve">✓ OK</t>
  </si>
  <si>
    <t xml:space="preserve">Returned Sales Value</t>
  </si>
  <si>
    <t xml:space="preserve">₹36,721,630</t>
  </si>
  <si>
    <t xml:space="preserve">Item sales value – Returned orders only</t>
  </si>
  <si>
    <t xml:space="preserve">⚠ FLAG</t>
  </si>
  <si>
    <t xml:space="preserve">Return Rate</t>
  </si>
  <si>
    <t xml:space="preserve">27.01%</t>
  </si>
  <si>
    <t xml:space="preserve">Returned orders ÷ Total orders</t>
  </si>
  <si>
    <t xml:space="preserve">Average Order Value</t>
  </si>
  <si>
    <t xml:space="preserve">₹1,200</t>
  </si>
  <si>
    <t xml:space="preserve">Item sales value ÷ Orders</t>
  </si>
  <si>
    <t xml:space="preserve">Average Rating</t>
  </si>
  <si>
    <t xml:space="preserve">2.73 / 5</t>
  </si>
  <si>
    <t xml:space="preserve">Mean customer rating across all orders</t>
  </si>
  <si>
    <t xml:space="preserve">Avg Delivery Days</t>
  </si>
  <si>
    <t xml:space="preserve">9.53 days</t>
  </si>
  <si>
    <t xml:space="preserve">Delivery Date – Order Date</t>
  </si>
  <si>
    <t xml:space="preserve">Shipping Fees Collected</t>
  </si>
  <si>
    <t xml:space="preserve">₹1,299,549</t>
  </si>
  <si>
    <t xml:space="preserve">Sum of shipping fee field</t>
  </si>
  <si>
    <t xml:space="preserve">RETURN REASON ANALYSIS  (30,526 returned orders)</t>
  </si>
  <si>
    <t xml:space="preserve">Return Reason</t>
  </si>
  <si>
    <t xml:space="preserve">Orders</t>
  </si>
  <si>
    <t xml:space="preserve">% of Returns</t>
  </si>
  <si>
    <t xml:space="preserve">Root Cause</t>
  </si>
  <si>
    <t xml:space="preserve">Quality — Defective item</t>
  </si>
  <si>
    <t xml:space="preserve">Product quality failure</t>
  </si>
  <si>
    <t xml:space="preserve">Delivery — Missing item/part</t>
  </si>
  <si>
    <t xml:space="preserve">Warehouse / fulfilment error</t>
  </si>
  <si>
    <t xml:space="preserve">Product — Not fitting expectation</t>
  </si>
  <si>
    <t xml:space="preserve">Listing or expectation gap</t>
  </si>
  <si>
    <t xml:space="preserve">Delivery — Wrong item</t>
  </si>
  <si>
    <t xml:space="preserve">Onsite — Description mismatch</t>
  </si>
  <si>
    <t xml:space="preserve">Listing accuracy issue</t>
  </si>
  <si>
    <t xml:space="preserve">Unspecified return reason</t>
  </si>
  <si>
    <t xml:space="preserve">No reason captured</t>
  </si>
  <si>
    <t xml:space="preserve">STRATEGIC INSIGHTS &amp; RECOMMENDATIONS</t>
  </si>
  <si>
    <t xml:space="preserve">Insight</t>
  </si>
  <si>
    <t xml:space="preserve">Detail</t>
  </si>
  <si>
    <t xml:space="preserve">⚠</t>
  </si>
  <si>
    <t xml:space="preserve">Critical Return Rate (27%)</t>
  </si>
  <si>
    <t xml:space="preserve">Nearly 1 in 3 orders is returned. ₹36.7M in revenue is being lost. Immediate action needed on fulfilment accuracy and listing quality.</t>
  </si>
  <si>
    <t xml:space="preserve">Low Customer Satisfaction (2.73/5)</t>
  </si>
  <si>
    <t xml:space="preserve">70% of ratings are 1–3 stars. Ratings 4 and 5 each account for only ~14.6% of orders. Customer experience overhaul required.</t>
  </si>
  <si>
    <t xml:space="preserve">Shipped from Abroad = Highest Risk</t>
  </si>
  <si>
    <t xml:space="preserve">30.9% return rate vs 23.7% for Standard Delivery. Reducing cross-border shipment volume would meaningfully cut returns.</t>
  </si>
  <si>
    <t xml:space="preserve">Zone 4 Underperforming</t>
  </si>
  <si>
    <t xml:space="preserve">Highest return rate (28.6%) and lowest sales (₹18M). Logistics investment or targeted pricing may improve outcomes.</t>
  </si>
  <si>
    <t xml:space="preserve">📊</t>
  </si>
  <si>
    <t xml:space="preserve">2020 COVID Impact</t>
  </si>
  <si>
    <t xml:space="preserve">Orders doubled in Jan–May 2020 then collapsed 54% from June. Supply chain disruption visibly drove the drop.</t>
  </si>
  <si>
    <t xml:space="preserve">✓</t>
  </si>
  <si>
    <t xml:space="preserve">Health &amp; Beauty is Top Category</t>
  </si>
  <si>
    <t xml:space="preserve">₹44.7M in sales (33% of total). However its 27.2% return rate is above the platform average — quality controls needed.</t>
  </si>
  <si>
    <t xml:space="preserve">YEARLY PERFORMANCE SUMMARY</t>
  </si>
  <si>
    <t xml:space="preserve">Year</t>
  </si>
  <si>
    <t xml:space="preserve">Item Sales (₹)</t>
  </si>
  <si>
    <t xml:space="preserve">Realized Sales (₹)</t>
  </si>
  <si>
    <t xml:space="preserve">Returned Sales (₹)</t>
  </si>
  <si>
    <t xml:space="preserve">Avg Rating</t>
  </si>
  <si>
    <t xml:space="preserve">Avg Del. Days</t>
  </si>
  <si>
    <t xml:space="preserve">TOTAL / AVG</t>
  </si>
  <si>
    <t xml:space="preserve">CATEGORY PERFORMANCE ANALYSIS</t>
  </si>
  <si>
    <t xml:space="preserve">Category</t>
  </si>
  <si>
    <t xml:space="preserve">Realized (₹)</t>
  </si>
  <si>
    <t xml:space="preserve">Returned (₹)</t>
  </si>
  <si>
    <t xml:space="preserve">Health and beauty</t>
  </si>
  <si>
    <t xml:space="preserve">Fashion</t>
  </si>
  <si>
    <t xml:space="preserve">Phones and Tablet</t>
  </si>
  <si>
    <t xml:space="preserve">Home and Office</t>
  </si>
  <si>
    <t xml:space="preserve">Electronics</t>
  </si>
  <si>
    <t xml:space="preserve">TOP 10 SUBCATEGORIES BY SALES</t>
  </si>
  <si>
    <t xml:space="preserve">Rank</t>
  </si>
  <si>
    <t xml:space="preserve">Subcategory</t>
  </si>
  <si>
    <t xml:space="preserve">Vitamins &amp; Dietary Supplements</t>
  </si>
  <si>
    <t xml:space="preserve">Medical supplies and Equipment</t>
  </si>
  <si>
    <t xml:space="preserve">Men's fashion</t>
  </si>
  <si>
    <t xml:space="preserve">Women's fashion</t>
  </si>
  <si>
    <t xml:space="preserve">Kitchen and dinning</t>
  </si>
  <si>
    <t xml:space="preserve">Mobile phones</t>
  </si>
  <si>
    <t xml:space="preserve">Beauty and personal care</t>
  </si>
  <si>
    <t xml:space="preserve">Girl's fashion</t>
  </si>
  <si>
    <t xml:space="preserve">Boy's fashion</t>
  </si>
  <si>
    <t xml:space="preserve">Fragrances</t>
  </si>
  <si>
    <t xml:space="preserve">GEOGRAPHIC ZONE &amp; DELIVERY TYPE ANALYSIS</t>
  </si>
  <si>
    <t xml:space="preserve">Zone</t>
  </si>
  <si>
    <t xml:space="preserve">Returns</t>
  </si>
  <si>
    <t xml:space="preserve">Zone 1</t>
  </si>
  <si>
    <t xml:space="preserve">Zone 2</t>
  </si>
  <si>
    <t xml:space="preserve">Zone 3</t>
  </si>
  <si>
    <t xml:space="preserve">Zone 4</t>
  </si>
  <si>
    <t xml:space="preserve">DELIVERY TYPE PERFORMANCE</t>
  </si>
  <si>
    <t xml:space="preserve">Delivery Type</t>
  </si>
  <si>
    <t xml:space="preserve">Express</t>
  </si>
  <si>
    <t xml:space="preserve">Shipped from Abroad</t>
  </si>
  <si>
    <t xml:space="preserve">Standard Delivery</t>
  </si>
  <si>
    <t xml:space="preserve">CUSTOMER DEMOGRAPHICS &amp; BEHAVIOUR</t>
  </si>
  <si>
    <t xml:space="preserve">AGE GROUP ANALYSIS</t>
  </si>
  <si>
    <t xml:space="preserve">Age Group</t>
  </si>
  <si>
    <t xml:space="preserve">17-24</t>
  </si>
  <si>
    <t xml:space="preserve">25-34</t>
  </si>
  <si>
    <t xml:space="preserve">35-44</t>
  </si>
  <si>
    <t xml:space="preserve">45-54</t>
  </si>
  <si>
    <t xml:space="preserve">55-64</t>
  </si>
  <si>
    <t xml:space="preserve">65+</t>
  </si>
  <si>
    <t xml:space="preserve">GENDER SPLIT</t>
  </si>
  <si>
    <t xml:space="preserve">Gender</t>
  </si>
  <si>
    <t xml:space="preserve">Share</t>
  </si>
  <si>
    <t xml:space="preserve">Male</t>
  </si>
  <si>
    <t xml:space="preserve">Female</t>
  </si>
  <si>
    <t xml:space="preserve">RATING DISTRIBUTION</t>
  </si>
  <si>
    <t xml:space="preserve">Rating</t>
  </si>
  <si>
    <t xml:space="preserve">★</t>
  </si>
  <si>
    <t xml:space="preserve">★★</t>
  </si>
  <si>
    <t xml:space="preserve">★★★</t>
  </si>
  <si>
    <t xml:space="preserve">★★★★</t>
  </si>
  <si>
    <t xml:space="preserve">★★★★★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</si>
</sst>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"/>
    <numFmt numFmtId="167" formatCode="0.00"/>
    <numFmt numFmtId="168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CECEA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CECEA"/>
        <bgColor rgb="FFF2F2F2"/>
      </patternFill>
    </fill>
    <fill>
      <patternFill patternType="solid">
        <fgColor rgb="FFFFF2CC"/>
        <bgColor rgb="FFFCECEA"/>
      </patternFill>
    </fill>
    <fill>
      <patternFill patternType="solid">
        <fgColor rgb="FFBDD7EE"/>
        <bgColor rgb="FF99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CEA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3.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3</v>
      </c>
      <c r="B5" s="4" t="s">
        <v>4</v>
      </c>
      <c r="D5" s="4" t="s">
        <v>5</v>
      </c>
      <c r="F5" s="4" t="s">
        <v>6</v>
      </c>
    </row>
    <row r="6" customFormat="false" ht="15" hidden="false" customHeight="false" outlineLevel="0" collapsed="false">
      <c r="A6" s="5" t="s">
        <v>7</v>
      </c>
      <c r="B6" s="6" t="s">
        <v>8</v>
      </c>
      <c r="C6" s="7" t="s">
        <v>9</v>
      </c>
      <c r="D6" s="7"/>
      <c r="E6" s="7"/>
      <c r="F6" s="8" t="s">
        <v>10</v>
      </c>
    </row>
    <row r="7" customFormat="false" ht="15" hidden="false" customHeight="false" outlineLevel="0" collapsed="false">
      <c r="A7" s="9" t="s">
        <v>11</v>
      </c>
      <c r="B7" s="10" t="s">
        <v>8</v>
      </c>
      <c r="C7" s="11" t="s">
        <v>12</v>
      </c>
      <c r="D7" s="11"/>
      <c r="E7" s="11"/>
      <c r="F7" s="12" t="s">
        <v>10</v>
      </c>
    </row>
    <row r="8" customFormat="false" ht="15" hidden="false" customHeight="false" outlineLevel="0" collapsed="false">
      <c r="A8" s="5" t="s">
        <v>13</v>
      </c>
      <c r="B8" s="6" t="s">
        <v>14</v>
      </c>
      <c r="C8" s="7" t="s">
        <v>15</v>
      </c>
      <c r="D8" s="7"/>
      <c r="E8" s="7"/>
      <c r="F8" s="8" t="s">
        <v>10</v>
      </c>
    </row>
    <row r="9" customFormat="false" ht="15" hidden="false" customHeight="false" outlineLevel="0" collapsed="false">
      <c r="A9" s="9" t="s">
        <v>16</v>
      </c>
      <c r="B9" s="13" t="s">
        <v>17</v>
      </c>
      <c r="C9" s="11" t="s">
        <v>18</v>
      </c>
      <c r="D9" s="11"/>
      <c r="E9" s="11"/>
      <c r="F9" s="14" t="s">
        <v>19</v>
      </c>
    </row>
    <row r="10" customFormat="false" ht="15" hidden="false" customHeight="false" outlineLevel="0" collapsed="false">
      <c r="A10" s="5" t="s">
        <v>20</v>
      </c>
      <c r="B10" s="15" t="s">
        <v>21</v>
      </c>
      <c r="C10" s="7" t="s">
        <v>22</v>
      </c>
      <c r="D10" s="7"/>
      <c r="E10" s="7"/>
      <c r="F10" s="16" t="s">
        <v>23</v>
      </c>
    </row>
    <row r="11" customFormat="false" ht="15" hidden="false" customHeight="false" outlineLevel="0" collapsed="false">
      <c r="A11" s="9" t="s">
        <v>24</v>
      </c>
      <c r="B11" s="15" t="s">
        <v>25</v>
      </c>
      <c r="C11" s="11" t="s">
        <v>26</v>
      </c>
      <c r="D11" s="11"/>
      <c r="E11" s="11"/>
      <c r="F11" s="17" t="s">
        <v>23</v>
      </c>
    </row>
    <row r="12" customFormat="false" ht="15" hidden="false" customHeight="false" outlineLevel="0" collapsed="false">
      <c r="A12" s="5" t="s">
        <v>27</v>
      </c>
      <c r="B12" s="6" t="s">
        <v>28</v>
      </c>
      <c r="C12" s="7" t="s">
        <v>29</v>
      </c>
      <c r="D12" s="7"/>
      <c r="E12" s="7"/>
      <c r="F12" s="8" t="s">
        <v>10</v>
      </c>
    </row>
    <row r="13" customFormat="false" ht="15" hidden="false" customHeight="false" outlineLevel="0" collapsed="false">
      <c r="A13" s="9" t="s">
        <v>30</v>
      </c>
      <c r="B13" s="15" t="s">
        <v>31</v>
      </c>
      <c r="C13" s="11" t="s">
        <v>32</v>
      </c>
      <c r="D13" s="11"/>
      <c r="E13" s="11"/>
      <c r="F13" s="17" t="s">
        <v>23</v>
      </c>
    </row>
    <row r="14" customFormat="false" ht="15" hidden="false" customHeight="false" outlineLevel="0" collapsed="false">
      <c r="A14" s="5" t="s">
        <v>33</v>
      </c>
      <c r="B14" s="6" t="s">
        <v>34</v>
      </c>
      <c r="C14" s="7" t="s">
        <v>35</v>
      </c>
      <c r="D14" s="7"/>
      <c r="E14" s="7"/>
      <c r="F14" s="8" t="s">
        <v>10</v>
      </c>
    </row>
    <row r="15" customFormat="false" ht="15" hidden="false" customHeight="false" outlineLevel="0" collapsed="false">
      <c r="A15" s="9" t="s">
        <v>36</v>
      </c>
      <c r="B15" s="10" t="s">
        <v>37</v>
      </c>
      <c r="C15" s="11" t="s">
        <v>38</v>
      </c>
      <c r="D15" s="11"/>
      <c r="E15" s="11"/>
      <c r="F15" s="12" t="s">
        <v>10</v>
      </c>
    </row>
    <row r="17" customFormat="false" ht="7.5" hidden="false" customHeight="true" outlineLevel="0" collapsed="false"/>
    <row r="18" customFormat="false" ht="15" hidden="false" customHeight="true" outlineLevel="0" collapsed="false">
      <c r="A18" s="3" t="s">
        <v>39</v>
      </c>
      <c r="B18" s="3"/>
      <c r="C18" s="3"/>
      <c r="D18" s="3"/>
      <c r="E18" s="3"/>
      <c r="F18" s="3"/>
    </row>
    <row r="19" customFormat="false" ht="15" hidden="false" customHeight="false" outlineLevel="0" collapsed="false">
      <c r="A19" s="4" t="s">
        <v>40</v>
      </c>
      <c r="B19" s="4" t="s">
        <v>41</v>
      </c>
      <c r="C19" s="4" t="s">
        <v>42</v>
      </c>
      <c r="D19" s="4" t="s">
        <v>43</v>
      </c>
    </row>
    <row r="20" customFormat="false" ht="15" hidden="false" customHeight="false" outlineLevel="0" collapsed="false">
      <c r="A20" s="18" t="s">
        <v>44</v>
      </c>
      <c r="B20" s="6" t="n">
        <v>6065</v>
      </c>
      <c r="C20" s="19" t="n">
        <v>0.198683089825067</v>
      </c>
      <c r="D20" s="7" t="s">
        <v>45</v>
      </c>
      <c r="E20" s="7"/>
      <c r="F20" s="7"/>
    </row>
    <row r="21" customFormat="false" ht="15" hidden="false" customHeight="false" outlineLevel="0" collapsed="false">
      <c r="A21" s="20" t="s">
        <v>46</v>
      </c>
      <c r="B21" s="10" t="n">
        <v>6013</v>
      </c>
      <c r="C21" s="21" t="n">
        <v>0.196979623927144</v>
      </c>
      <c r="D21" s="11" t="s">
        <v>47</v>
      </c>
      <c r="E21" s="11"/>
      <c r="F21" s="11"/>
    </row>
    <row r="22" customFormat="false" ht="15" hidden="false" customHeight="false" outlineLevel="0" collapsed="false">
      <c r="A22" s="18" t="s">
        <v>48</v>
      </c>
      <c r="B22" s="6" t="n">
        <v>5872</v>
      </c>
      <c r="C22" s="19" t="n">
        <v>0.192360610627007</v>
      </c>
      <c r="D22" s="7" t="s">
        <v>49</v>
      </c>
      <c r="E22" s="7"/>
      <c r="F22" s="7"/>
    </row>
    <row r="23" customFormat="false" ht="15" hidden="false" customHeight="false" outlineLevel="0" collapsed="false">
      <c r="A23" s="20" t="s">
        <v>50</v>
      </c>
      <c r="B23" s="10" t="n">
        <v>5868</v>
      </c>
      <c r="C23" s="21" t="n">
        <v>0.192229574788705</v>
      </c>
      <c r="D23" s="11" t="s">
        <v>47</v>
      </c>
      <c r="E23" s="11"/>
      <c r="F23" s="11"/>
    </row>
    <row r="24" customFormat="false" ht="15" hidden="false" customHeight="false" outlineLevel="0" collapsed="false">
      <c r="A24" s="18" t="s">
        <v>51</v>
      </c>
      <c r="B24" s="6" t="n">
        <v>5827</v>
      </c>
      <c r="C24" s="19" t="n">
        <v>0.190886457446112</v>
      </c>
      <c r="D24" s="7" t="s">
        <v>52</v>
      </c>
      <c r="E24" s="7"/>
      <c r="F24" s="7"/>
    </row>
    <row r="25" customFormat="false" ht="15" hidden="false" customHeight="false" outlineLevel="0" collapsed="false">
      <c r="A25" s="20" t="s">
        <v>53</v>
      </c>
      <c r="B25" s="10" t="n">
        <v>881</v>
      </c>
      <c r="C25" s="21" t="n">
        <v>0.0288606433859661</v>
      </c>
      <c r="D25" s="11" t="s">
        <v>54</v>
      </c>
      <c r="E25" s="11"/>
      <c r="F25" s="11"/>
    </row>
    <row r="27" customFormat="false" ht="7.5" hidden="false" customHeight="true" outlineLevel="0" collapsed="false"/>
    <row r="28" customFormat="false" ht="15" hidden="false" customHeight="true" outlineLevel="0" collapsed="false">
      <c r="A28" s="22" t="s">
        <v>55</v>
      </c>
      <c r="B28" s="22"/>
      <c r="C28" s="22"/>
      <c r="D28" s="22"/>
      <c r="E28" s="22"/>
      <c r="F28" s="22"/>
    </row>
    <row r="29" customFormat="false" ht="15" hidden="false" customHeight="false" outlineLevel="0" collapsed="false">
      <c r="A29" s="4"/>
      <c r="B29" s="4" t="s">
        <v>56</v>
      </c>
      <c r="C29" s="4" t="s">
        <v>57</v>
      </c>
    </row>
    <row r="30" customFormat="false" ht="30" hidden="false" customHeight="true" outlineLevel="0" collapsed="false">
      <c r="A30" s="23" t="s">
        <v>58</v>
      </c>
      <c r="B30" s="24" t="s">
        <v>59</v>
      </c>
      <c r="C30" s="25" t="s">
        <v>60</v>
      </c>
      <c r="D30" s="25"/>
      <c r="E30" s="25"/>
      <c r="F30" s="25"/>
    </row>
    <row r="31" customFormat="false" ht="30" hidden="false" customHeight="true" outlineLevel="0" collapsed="false">
      <c r="A31" s="23" t="s">
        <v>58</v>
      </c>
      <c r="B31" s="24" t="s">
        <v>61</v>
      </c>
      <c r="C31" s="25" t="s">
        <v>62</v>
      </c>
      <c r="D31" s="25"/>
      <c r="E31" s="25"/>
      <c r="F31" s="25"/>
    </row>
    <row r="32" customFormat="false" ht="30" hidden="false" customHeight="true" outlineLevel="0" collapsed="false">
      <c r="A32" s="23" t="s">
        <v>58</v>
      </c>
      <c r="B32" s="24" t="s">
        <v>63</v>
      </c>
      <c r="C32" s="25" t="s">
        <v>64</v>
      </c>
      <c r="D32" s="25"/>
      <c r="E32" s="25"/>
      <c r="F32" s="25"/>
    </row>
    <row r="33" customFormat="false" ht="30" hidden="false" customHeight="true" outlineLevel="0" collapsed="false">
      <c r="A33" s="23" t="s">
        <v>58</v>
      </c>
      <c r="B33" s="24" t="s">
        <v>65</v>
      </c>
      <c r="C33" s="25" t="s">
        <v>66</v>
      </c>
      <c r="D33" s="25"/>
      <c r="E33" s="25"/>
      <c r="F33" s="25"/>
    </row>
    <row r="34" customFormat="false" ht="30" hidden="false" customHeight="true" outlineLevel="0" collapsed="false">
      <c r="A34" s="6" t="s">
        <v>67</v>
      </c>
      <c r="B34" s="5" t="s">
        <v>68</v>
      </c>
      <c r="C34" s="26" t="s">
        <v>69</v>
      </c>
      <c r="D34" s="26"/>
      <c r="E34" s="26"/>
      <c r="F34" s="26"/>
    </row>
    <row r="35" customFormat="false" ht="30" hidden="false" customHeight="true" outlineLevel="0" collapsed="false">
      <c r="A35" s="27" t="s">
        <v>70</v>
      </c>
      <c r="B35" s="28" t="s">
        <v>71</v>
      </c>
      <c r="C35" s="29" t="s">
        <v>72</v>
      </c>
      <c r="D35" s="29"/>
      <c r="E35" s="29"/>
      <c r="F35" s="29"/>
    </row>
  </sheetData>
  <mergeCells count="27">
    <mergeCell ref="A1:F1"/>
    <mergeCell ref="A2:F2"/>
    <mergeCell ref="A4:F4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A18:F18"/>
    <mergeCell ref="D20:F20"/>
    <mergeCell ref="D21:F21"/>
    <mergeCell ref="D22:F22"/>
    <mergeCell ref="D23:F23"/>
    <mergeCell ref="D24:F24"/>
    <mergeCell ref="D25:F25"/>
    <mergeCell ref="A28:F28"/>
    <mergeCell ref="C30:F30"/>
    <mergeCell ref="C31:F31"/>
    <mergeCell ref="C32:F32"/>
    <mergeCell ref="C33:F33"/>
    <mergeCell ref="C34:F34"/>
    <mergeCell ref="C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5" min="3" style="0" width="18"/>
    <col collapsed="false" customWidth="true" hidden="false" outlineLevel="0" max="7" min="6" style="0" width="12"/>
    <col collapsed="false" customWidth="true" hidden="false" outlineLevel="0" max="8" min="8" style="0" width="14"/>
  </cols>
  <sheetData>
    <row r="1" customFormat="false" ht="16.15" hidden="false" customHeight="true" outlineLevel="0" collapsed="false">
      <c r="A1" s="30" t="s">
        <v>73</v>
      </c>
      <c r="B1" s="30"/>
      <c r="C1" s="30"/>
      <c r="D1" s="30"/>
      <c r="E1" s="30"/>
      <c r="F1" s="30"/>
      <c r="G1" s="30"/>
    </row>
    <row r="3" customFormat="false" ht="15" hidden="false" customHeight="false" outlineLevel="0" collapsed="false">
      <c r="A3" s="4" t="s">
        <v>74</v>
      </c>
      <c r="B3" s="4" t="s">
        <v>41</v>
      </c>
      <c r="C3" s="4" t="s">
        <v>75</v>
      </c>
      <c r="D3" s="4" t="s">
        <v>76</v>
      </c>
      <c r="E3" s="4" t="s">
        <v>77</v>
      </c>
      <c r="F3" s="4" t="s">
        <v>24</v>
      </c>
      <c r="G3" s="4" t="s">
        <v>78</v>
      </c>
      <c r="H3" s="4" t="s">
        <v>79</v>
      </c>
    </row>
    <row r="4" customFormat="false" ht="15" hidden="false" customHeight="false" outlineLevel="0" collapsed="false">
      <c r="A4" s="31" t="n">
        <v>2015</v>
      </c>
      <c r="B4" s="31" t="n">
        <v>17624</v>
      </c>
      <c r="C4" s="32" t="n">
        <v>21126956</v>
      </c>
      <c r="D4" s="32" t="n">
        <v>15397428</v>
      </c>
      <c r="E4" s="32" t="n">
        <v>5729528</v>
      </c>
      <c r="F4" s="19" t="n">
        <v>0.271195149930733</v>
      </c>
      <c r="G4" s="33" t="n">
        <v>2.73</v>
      </c>
      <c r="H4" s="33" t="n">
        <v>9.51</v>
      </c>
    </row>
    <row r="5" customFormat="false" ht="15" hidden="false" customHeight="false" outlineLevel="0" collapsed="false">
      <c r="A5" s="34" t="n">
        <v>2016</v>
      </c>
      <c r="B5" s="34" t="n">
        <v>17634</v>
      </c>
      <c r="C5" s="35" t="n">
        <v>21143541</v>
      </c>
      <c r="D5" s="35" t="n">
        <v>15396283</v>
      </c>
      <c r="E5" s="35" t="n">
        <v>5747258</v>
      </c>
      <c r="F5" s="21" t="n">
        <v>0.271820978330924</v>
      </c>
      <c r="G5" s="36" t="n">
        <v>2.73</v>
      </c>
      <c r="H5" s="36" t="n">
        <v>9.63</v>
      </c>
    </row>
    <row r="6" customFormat="false" ht="15" hidden="false" customHeight="false" outlineLevel="0" collapsed="false">
      <c r="A6" s="31" t="n">
        <v>2017</v>
      </c>
      <c r="B6" s="31" t="n">
        <v>17672</v>
      </c>
      <c r="C6" s="32" t="n">
        <v>21072719</v>
      </c>
      <c r="D6" s="32" t="n">
        <v>15345591</v>
      </c>
      <c r="E6" s="32" t="n">
        <v>5727128</v>
      </c>
      <c r="F6" s="19" t="n">
        <v>0.271779261138537</v>
      </c>
      <c r="G6" s="33" t="n">
        <v>2.73</v>
      </c>
      <c r="H6" s="33" t="n">
        <v>9.54</v>
      </c>
    </row>
    <row r="7" customFormat="false" ht="15" hidden="false" customHeight="false" outlineLevel="0" collapsed="false">
      <c r="A7" s="34" t="n">
        <v>2018</v>
      </c>
      <c r="B7" s="34" t="n">
        <v>17354</v>
      </c>
      <c r="C7" s="35" t="n">
        <v>20741078</v>
      </c>
      <c r="D7" s="35" t="n">
        <v>15092086</v>
      </c>
      <c r="E7" s="35" t="n">
        <v>5648992</v>
      </c>
      <c r="F7" s="21" t="n">
        <v>0.272357685555206</v>
      </c>
      <c r="G7" s="36" t="n">
        <v>2.72</v>
      </c>
      <c r="H7" s="36" t="n">
        <v>9.47</v>
      </c>
    </row>
    <row r="8" customFormat="false" ht="15" hidden="false" customHeight="false" outlineLevel="0" collapsed="false">
      <c r="A8" s="31" t="n">
        <v>2019</v>
      </c>
      <c r="B8" s="31" t="n">
        <v>17537</v>
      </c>
      <c r="C8" s="32" t="n">
        <v>21151859</v>
      </c>
      <c r="D8" s="32" t="n">
        <v>15399049</v>
      </c>
      <c r="E8" s="32" t="n">
        <v>5752810</v>
      </c>
      <c r="F8" s="19" t="n">
        <v>0.271976567166035</v>
      </c>
      <c r="G8" s="33" t="n">
        <v>2.74</v>
      </c>
      <c r="H8" s="33" t="n">
        <v>9.51</v>
      </c>
    </row>
    <row r="9" customFormat="false" ht="15" hidden="false" customHeight="false" outlineLevel="0" collapsed="false">
      <c r="A9" s="34" t="n">
        <v>2020</v>
      </c>
      <c r="B9" s="34" t="n">
        <v>25179</v>
      </c>
      <c r="C9" s="35" t="n">
        <v>30375193</v>
      </c>
      <c r="D9" s="35" t="n">
        <v>22259279</v>
      </c>
      <c r="E9" s="35" t="n">
        <v>8115914</v>
      </c>
      <c r="F9" s="21" t="n">
        <v>0.267188886668144</v>
      </c>
      <c r="G9" s="36" t="n">
        <v>2.73</v>
      </c>
      <c r="H9" s="36" t="n">
        <v>9.51</v>
      </c>
    </row>
    <row r="10" customFormat="false" ht="15" hidden="false" customHeight="false" outlineLevel="0" collapsed="false">
      <c r="A10" s="37" t="s">
        <v>80</v>
      </c>
      <c r="B10" s="38" t="n">
        <f aca="false">SUM(B4:B9)</f>
        <v>113000</v>
      </c>
      <c r="C10" s="39" t="n">
        <f aca="false">SUM(C4:C9)</f>
        <v>135611346</v>
      </c>
      <c r="D10" s="39" t="n">
        <f aca="false">SUM(D4:D9)</f>
        <v>98889716</v>
      </c>
      <c r="E10" s="39" t="n">
        <f aca="false">SUM(E4:E9)</f>
        <v>36721630</v>
      </c>
      <c r="F10" s="40" t="n">
        <f aca="false">E10/C10</f>
        <v>0.270785823481171</v>
      </c>
      <c r="G10" s="41" t="n">
        <f aca="false">AVERAGE(G4:G9)</f>
        <v>2.73</v>
      </c>
      <c r="H10" s="41" t="n">
        <f aca="false">AVERAGE(H4:H9)</f>
        <v>9.52833333333333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7" min="6" style="0" width="12"/>
  </cols>
  <sheetData>
    <row r="1" customFormat="false" ht="16.15" hidden="false" customHeight="true" outlineLevel="0" collapsed="false">
      <c r="A1" s="30" t="s">
        <v>81</v>
      </c>
      <c r="B1" s="30"/>
      <c r="C1" s="30"/>
      <c r="D1" s="30"/>
      <c r="E1" s="30"/>
      <c r="F1" s="30"/>
    </row>
    <row r="3" customFormat="false" ht="15" hidden="false" customHeight="false" outlineLevel="0" collapsed="false">
      <c r="A3" s="4" t="s">
        <v>82</v>
      </c>
      <c r="B3" s="4" t="s">
        <v>41</v>
      </c>
      <c r="C3" s="4" t="s">
        <v>75</v>
      </c>
      <c r="D3" s="4" t="s">
        <v>83</v>
      </c>
      <c r="E3" s="4" t="s">
        <v>84</v>
      </c>
      <c r="F3" s="4" t="s">
        <v>24</v>
      </c>
      <c r="G3" s="4" t="s">
        <v>78</v>
      </c>
    </row>
    <row r="4" customFormat="false" ht="15" hidden="false" customHeight="false" outlineLevel="0" collapsed="false">
      <c r="A4" s="42" t="s">
        <v>85</v>
      </c>
      <c r="B4" s="31" t="n">
        <v>35953</v>
      </c>
      <c r="C4" s="32" t="n">
        <v>44717534</v>
      </c>
      <c r="D4" s="32" t="n">
        <v>32485327</v>
      </c>
      <c r="E4" s="32" t="n">
        <v>12232207</v>
      </c>
      <c r="F4" s="19" t="n">
        <v>0.273543863129841</v>
      </c>
      <c r="G4" s="33" t="n">
        <v>2.722582260173</v>
      </c>
    </row>
    <row r="5" customFormat="false" ht="15" hidden="false" customHeight="false" outlineLevel="0" collapsed="false">
      <c r="A5" s="43" t="s">
        <v>86</v>
      </c>
      <c r="B5" s="34" t="n">
        <v>33388</v>
      </c>
      <c r="C5" s="35" t="n">
        <v>41298021</v>
      </c>
      <c r="D5" s="35" t="n">
        <v>30090969</v>
      </c>
      <c r="E5" s="35" t="n">
        <v>11207052</v>
      </c>
      <c r="F5" s="21" t="n">
        <v>0.271370194712236</v>
      </c>
      <c r="G5" s="36" t="n">
        <v>2.72789625014976</v>
      </c>
    </row>
    <row r="6" customFormat="false" ht="15" hidden="false" customHeight="false" outlineLevel="0" collapsed="false">
      <c r="A6" s="42" t="s">
        <v>87</v>
      </c>
      <c r="B6" s="31" t="n">
        <v>17978</v>
      </c>
      <c r="C6" s="32" t="n">
        <v>22322776</v>
      </c>
      <c r="D6" s="32" t="n">
        <v>16457928</v>
      </c>
      <c r="E6" s="32" t="n">
        <v>5864848</v>
      </c>
      <c r="F6" s="19" t="n">
        <v>0.262729330796492</v>
      </c>
      <c r="G6" s="33" t="n">
        <v>2.75286461230393</v>
      </c>
    </row>
    <row r="7" customFormat="false" ht="15" hidden="false" customHeight="false" outlineLevel="0" collapsed="false">
      <c r="A7" s="43" t="s">
        <v>88</v>
      </c>
      <c r="B7" s="34" t="n">
        <v>15408</v>
      </c>
      <c r="C7" s="35" t="n">
        <v>19163611</v>
      </c>
      <c r="D7" s="35" t="n">
        <v>13882587</v>
      </c>
      <c r="E7" s="35" t="n">
        <v>5281024</v>
      </c>
      <c r="F7" s="21" t="n">
        <v>0.275575620899422</v>
      </c>
      <c r="G7" s="36" t="n">
        <v>2.72754413291797</v>
      </c>
    </row>
    <row r="8" customFormat="false" ht="15" hidden="false" customHeight="false" outlineLevel="0" collapsed="false">
      <c r="A8" s="42" t="s">
        <v>89</v>
      </c>
      <c r="B8" s="31" t="n">
        <v>10273</v>
      </c>
      <c r="C8" s="32" t="n">
        <v>8109404</v>
      </c>
      <c r="D8" s="32" t="n">
        <v>5972905</v>
      </c>
      <c r="E8" s="32" t="n">
        <v>2136499</v>
      </c>
      <c r="F8" s="19" t="n">
        <v>0.263459435489957</v>
      </c>
      <c r="G8" s="33" t="n">
        <v>2.72568869853013</v>
      </c>
    </row>
    <row r="12" customFormat="false" ht="15" hidden="false" customHeight="true" outlineLevel="0" collapsed="false">
      <c r="A12" s="3" t="s">
        <v>90</v>
      </c>
      <c r="B12" s="3"/>
      <c r="C12" s="3"/>
      <c r="D12" s="3"/>
      <c r="E12" s="3"/>
      <c r="F12" s="3"/>
      <c r="G12" s="3"/>
    </row>
    <row r="13" customFormat="false" ht="15" hidden="false" customHeight="false" outlineLevel="0" collapsed="false">
      <c r="A13" s="4" t="s">
        <v>91</v>
      </c>
      <c r="B13" s="4" t="s">
        <v>92</v>
      </c>
      <c r="C13" s="4" t="s">
        <v>75</v>
      </c>
    </row>
    <row r="14" customFormat="false" ht="15" hidden="false" customHeight="false" outlineLevel="0" collapsed="false">
      <c r="A14" s="6" t="n">
        <v>1</v>
      </c>
      <c r="B14" s="44" t="s">
        <v>93</v>
      </c>
      <c r="C14" s="44"/>
      <c r="D14" s="44"/>
      <c r="E14" s="44"/>
      <c r="F14" s="32" t="n">
        <v>15895992</v>
      </c>
    </row>
    <row r="15" customFormat="false" ht="15" hidden="false" customHeight="false" outlineLevel="0" collapsed="false">
      <c r="A15" s="10" t="n">
        <v>2</v>
      </c>
      <c r="B15" s="45" t="s">
        <v>94</v>
      </c>
      <c r="C15" s="45"/>
      <c r="D15" s="45"/>
      <c r="E15" s="45"/>
      <c r="F15" s="35" t="n">
        <v>12798810</v>
      </c>
    </row>
    <row r="16" customFormat="false" ht="15" hidden="false" customHeight="false" outlineLevel="0" collapsed="false">
      <c r="A16" s="6" t="n">
        <v>3</v>
      </c>
      <c r="B16" s="44" t="s">
        <v>95</v>
      </c>
      <c r="C16" s="44"/>
      <c r="D16" s="44"/>
      <c r="E16" s="44"/>
      <c r="F16" s="32" t="n">
        <v>12616606</v>
      </c>
    </row>
    <row r="17" customFormat="false" ht="15" hidden="false" customHeight="false" outlineLevel="0" collapsed="false">
      <c r="A17" s="10" t="n">
        <v>4</v>
      </c>
      <c r="B17" s="45" t="s">
        <v>96</v>
      </c>
      <c r="C17" s="45"/>
      <c r="D17" s="45"/>
      <c r="E17" s="45"/>
      <c r="F17" s="35" t="n">
        <v>9676135</v>
      </c>
    </row>
    <row r="18" customFormat="false" ht="15" hidden="false" customHeight="false" outlineLevel="0" collapsed="false">
      <c r="A18" s="6" t="n">
        <v>5</v>
      </c>
      <c r="B18" s="44" t="s">
        <v>97</v>
      </c>
      <c r="C18" s="44"/>
      <c r="D18" s="44"/>
      <c r="E18" s="44"/>
      <c r="F18" s="32" t="n">
        <v>9583011</v>
      </c>
    </row>
    <row r="19" customFormat="false" ht="15" hidden="false" customHeight="false" outlineLevel="0" collapsed="false">
      <c r="A19" s="10" t="n">
        <v>6</v>
      </c>
      <c r="B19" s="45" t="s">
        <v>98</v>
      </c>
      <c r="C19" s="45"/>
      <c r="D19" s="45"/>
      <c r="E19" s="45"/>
      <c r="F19" s="35" t="n">
        <v>9563682</v>
      </c>
    </row>
    <row r="20" customFormat="false" ht="15" hidden="false" customHeight="false" outlineLevel="0" collapsed="false">
      <c r="A20" s="6" t="n">
        <v>7</v>
      </c>
      <c r="B20" s="44" t="s">
        <v>99</v>
      </c>
      <c r="C20" s="44"/>
      <c r="D20" s="44"/>
      <c r="E20" s="44"/>
      <c r="F20" s="32" t="n">
        <v>9560657</v>
      </c>
    </row>
    <row r="21" customFormat="false" ht="15" hidden="false" customHeight="false" outlineLevel="0" collapsed="false">
      <c r="A21" s="10" t="n">
        <v>8</v>
      </c>
      <c r="B21" s="45" t="s">
        <v>100</v>
      </c>
      <c r="C21" s="45"/>
      <c r="D21" s="45"/>
      <c r="E21" s="45"/>
      <c r="F21" s="35" t="n">
        <v>9528998</v>
      </c>
    </row>
    <row r="22" customFormat="false" ht="15" hidden="false" customHeight="false" outlineLevel="0" collapsed="false">
      <c r="A22" s="6" t="n">
        <v>9</v>
      </c>
      <c r="B22" s="44" t="s">
        <v>101</v>
      </c>
      <c r="C22" s="44"/>
      <c r="D22" s="44"/>
      <c r="E22" s="44"/>
      <c r="F22" s="32" t="n">
        <v>9476282</v>
      </c>
    </row>
    <row r="23" customFormat="false" ht="15" hidden="false" customHeight="false" outlineLevel="0" collapsed="false">
      <c r="A23" s="10" t="n">
        <v>10</v>
      </c>
      <c r="B23" s="45" t="s">
        <v>102</v>
      </c>
      <c r="C23" s="45"/>
      <c r="D23" s="45"/>
      <c r="E23" s="45"/>
      <c r="F23" s="35" t="n">
        <v>6462075</v>
      </c>
    </row>
  </sheetData>
  <mergeCells count="12">
    <mergeCell ref="A1:F1"/>
    <mergeCell ref="A12:G12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14"/>
  </cols>
  <sheetData>
    <row r="1" customFormat="false" ht="16.15" hidden="false" customHeight="true" outlineLevel="0" collapsed="false">
      <c r="A1" s="30" t="s">
        <v>103</v>
      </c>
      <c r="B1" s="30"/>
      <c r="C1" s="30"/>
      <c r="D1" s="30"/>
      <c r="E1" s="30"/>
      <c r="F1" s="30"/>
    </row>
    <row r="3" customFormat="false" ht="15" hidden="false" customHeight="false" outlineLevel="0" collapsed="false">
      <c r="A3" s="4" t="s">
        <v>104</v>
      </c>
      <c r="B3" s="4" t="s">
        <v>41</v>
      </c>
      <c r="C3" s="4" t="s">
        <v>75</v>
      </c>
      <c r="D3" s="4" t="s">
        <v>105</v>
      </c>
      <c r="E3" s="4" t="s">
        <v>24</v>
      </c>
      <c r="F3" s="4" t="s">
        <v>78</v>
      </c>
      <c r="G3" s="4" t="s">
        <v>79</v>
      </c>
    </row>
    <row r="4" customFormat="false" ht="15" hidden="false" customHeight="false" outlineLevel="0" collapsed="false">
      <c r="A4" s="42" t="s">
        <v>106</v>
      </c>
      <c r="B4" s="31" t="n">
        <v>28440</v>
      </c>
      <c r="C4" s="32" t="n">
        <v>34171505</v>
      </c>
      <c r="D4" s="31" t="n">
        <v>7563</v>
      </c>
      <c r="E4" s="19" t="n">
        <v>0.265928270042194</v>
      </c>
      <c r="F4" s="33" t="n">
        <v>2.73231364275668</v>
      </c>
      <c r="G4" s="33" t="n">
        <v>9.50706751054852</v>
      </c>
    </row>
    <row r="5" customFormat="false" ht="15" hidden="false" customHeight="false" outlineLevel="0" collapsed="false">
      <c r="A5" s="43" t="s">
        <v>107</v>
      </c>
      <c r="B5" s="34" t="n">
        <v>20772</v>
      </c>
      <c r="C5" s="35" t="n">
        <v>24809562</v>
      </c>
      <c r="D5" s="34" t="n">
        <v>5527</v>
      </c>
      <c r="E5" s="21" t="n">
        <v>0.266079337569806</v>
      </c>
      <c r="F5" s="36" t="n">
        <v>2.72414789139226</v>
      </c>
      <c r="G5" s="36" t="n">
        <v>9.48512420566147</v>
      </c>
    </row>
    <row r="6" customFormat="false" ht="15" hidden="false" customHeight="false" outlineLevel="0" collapsed="false">
      <c r="A6" s="42" t="s">
        <v>108</v>
      </c>
      <c r="B6" s="31" t="n">
        <v>48733</v>
      </c>
      <c r="C6" s="32" t="n">
        <v>58626913</v>
      </c>
      <c r="D6" s="31" t="n">
        <v>13133</v>
      </c>
      <c r="E6" s="19" t="n">
        <v>0.269488847392937</v>
      </c>
      <c r="F6" s="33" t="n">
        <v>2.73081895225002</v>
      </c>
      <c r="G6" s="33" t="n">
        <v>9.54708308538362</v>
      </c>
    </row>
    <row r="7" customFormat="false" ht="15" hidden="false" customHeight="false" outlineLevel="0" collapsed="false">
      <c r="A7" s="43" t="s">
        <v>109</v>
      </c>
      <c r="B7" s="34" t="n">
        <v>15055</v>
      </c>
      <c r="C7" s="35" t="n">
        <v>18003366</v>
      </c>
      <c r="D7" s="34" t="n">
        <v>4303</v>
      </c>
      <c r="E7" s="46" t="n">
        <v>0.285818664895384</v>
      </c>
      <c r="F7" s="36" t="n">
        <v>2.73052142145467</v>
      </c>
      <c r="G7" s="36" t="n">
        <v>9.55476585851877</v>
      </c>
    </row>
    <row r="10" customFormat="false" ht="15" hidden="false" customHeight="true" outlineLevel="0" collapsed="false">
      <c r="A10" s="3" t="s">
        <v>110</v>
      </c>
      <c r="B10" s="3"/>
      <c r="C10" s="3"/>
      <c r="D10" s="3"/>
      <c r="E10" s="3"/>
      <c r="F10" s="3"/>
      <c r="G10" s="3"/>
    </row>
    <row r="11" customFormat="false" ht="15" hidden="false" customHeight="false" outlineLevel="0" collapsed="false">
      <c r="A11" s="4" t="s">
        <v>111</v>
      </c>
      <c r="B11" s="4" t="s">
        <v>41</v>
      </c>
      <c r="C11" s="4" t="s">
        <v>24</v>
      </c>
      <c r="D11" s="4" t="s">
        <v>33</v>
      </c>
      <c r="E11" s="4" t="s">
        <v>78</v>
      </c>
    </row>
    <row r="12" customFormat="false" ht="15" hidden="false" customHeight="false" outlineLevel="0" collapsed="false">
      <c r="A12" s="42" t="s">
        <v>112</v>
      </c>
      <c r="B12" s="31" t="n">
        <v>37306</v>
      </c>
      <c r="C12" s="19" t="n">
        <v>0.263844957915617</v>
      </c>
      <c r="D12" s="33" t="n">
        <v>3.49418324130167</v>
      </c>
      <c r="E12" s="33" t="n">
        <v>2.73746850372594</v>
      </c>
    </row>
    <row r="13" customFormat="false" ht="15" hidden="false" customHeight="false" outlineLevel="0" collapsed="false">
      <c r="A13" s="43" t="s">
        <v>113</v>
      </c>
      <c r="B13" s="34" t="n">
        <v>37853</v>
      </c>
      <c r="C13" s="46" t="n">
        <v>0.309169682719996</v>
      </c>
      <c r="D13" s="36" t="n">
        <v>15.001452989195</v>
      </c>
      <c r="E13" s="36" t="n">
        <v>2.69569122658706</v>
      </c>
    </row>
    <row r="14" customFormat="false" ht="15" hidden="false" customHeight="false" outlineLevel="0" collapsed="false">
      <c r="A14" s="42" t="s">
        <v>114</v>
      </c>
      <c r="B14" s="31" t="n">
        <v>37841</v>
      </c>
      <c r="C14" s="19" t="n">
        <v>0.237308739198224</v>
      </c>
      <c r="D14" s="33" t="n">
        <v>9.99727808461721</v>
      </c>
      <c r="E14" s="33" t="n">
        <v>2.75674532914035</v>
      </c>
    </row>
  </sheetData>
  <mergeCells count="2">
    <mergeCell ref="A1:F1"/>
    <mergeCell ref="A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2"/>
  </cols>
  <sheetData>
    <row r="1" customFormat="false" ht="16.15" hidden="false" customHeight="true" outlineLevel="0" collapsed="false">
      <c r="A1" s="30" t="s">
        <v>115</v>
      </c>
      <c r="B1" s="30"/>
      <c r="C1" s="30"/>
      <c r="D1" s="30"/>
      <c r="E1" s="30"/>
      <c r="F1" s="30"/>
    </row>
    <row r="3" customFormat="false" ht="15" hidden="false" customHeight="true" outlineLevel="0" collapsed="false">
      <c r="A3" s="3" t="s">
        <v>116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4" t="s">
        <v>117</v>
      </c>
      <c r="B4" s="4" t="s">
        <v>41</v>
      </c>
      <c r="C4" s="4" t="s">
        <v>75</v>
      </c>
      <c r="D4" s="4" t="s">
        <v>24</v>
      </c>
      <c r="E4" s="4" t="s">
        <v>78</v>
      </c>
    </row>
    <row r="5" customFormat="false" ht="15" hidden="false" customHeight="false" outlineLevel="0" collapsed="false">
      <c r="A5" s="42" t="s">
        <v>118</v>
      </c>
      <c r="B5" s="31" t="n">
        <v>17818</v>
      </c>
      <c r="C5" s="32" t="n">
        <v>21353563</v>
      </c>
      <c r="D5" s="19" t="n">
        <v>0.272028286002918</v>
      </c>
      <c r="E5" s="33" t="n">
        <v>2.74739027949265</v>
      </c>
    </row>
    <row r="6" customFormat="false" ht="15" hidden="false" customHeight="false" outlineLevel="0" collapsed="false">
      <c r="A6" s="43" t="s">
        <v>119</v>
      </c>
      <c r="B6" s="34" t="n">
        <v>38654</v>
      </c>
      <c r="C6" s="35" t="n">
        <v>46512652</v>
      </c>
      <c r="D6" s="21" t="n">
        <v>0.269338231489626</v>
      </c>
      <c r="E6" s="36" t="n">
        <v>2.72230558286335</v>
      </c>
    </row>
    <row r="7" customFormat="false" ht="15" hidden="false" customHeight="false" outlineLevel="0" collapsed="false">
      <c r="A7" s="42" t="s">
        <v>120</v>
      </c>
      <c r="B7" s="31" t="n">
        <v>31853</v>
      </c>
      <c r="C7" s="32" t="n">
        <v>38178771</v>
      </c>
      <c r="D7" s="19" t="n">
        <v>0.270837911656673</v>
      </c>
      <c r="E7" s="33" t="n">
        <v>2.71506608482718</v>
      </c>
    </row>
    <row r="8" customFormat="false" ht="15" hidden="false" customHeight="false" outlineLevel="0" collapsed="false">
      <c r="A8" s="43" t="s">
        <v>121</v>
      </c>
      <c r="B8" s="34" t="n">
        <v>17454</v>
      </c>
      <c r="C8" s="35" t="n">
        <v>20992498</v>
      </c>
      <c r="D8" s="21" t="n">
        <v>0.27076887819411</v>
      </c>
      <c r="E8" s="36" t="n">
        <v>2.74183568236507</v>
      </c>
    </row>
    <row r="9" customFormat="false" ht="15" hidden="false" customHeight="false" outlineLevel="0" collapsed="false">
      <c r="A9" s="42" t="s">
        <v>122</v>
      </c>
      <c r="B9" s="31" t="n">
        <v>6491</v>
      </c>
      <c r="C9" s="32" t="n">
        <v>7696798</v>
      </c>
      <c r="D9" s="19" t="n">
        <v>0.264366045293483</v>
      </c>
      <c r="E9" s="33" t="n">
        <v>2.7713757510399</v>
      </c>
    </row>
    <row r="10" customFormat="false" ht="15" hidden="false" customHeight="false" outlineLevel="0" collapsed="false">
      <c r="A10" s="43" t="s">
        <v>123</v>
      </c>
      <c r="B10" s="34" t="n">
        <v>730</v>
      </c>
      <c r="C10" s="35" t="n">
        <v>877064</v>
      </c>
      <c r="D10" s="21" t="n">
        <v>0.272602739726027</v>
      </c>
      <c r="E10" s="36" t="n">
        <v>2.7027397260274</v>
      </c>
    </row>
    <row r="13" customFormat="false" ht="15" hidden="false" customHeight="true" outlineLevel="0" collapsed="false">
      <c r="A13" s="3" t="s">
        <v>124</v>
      </c>
      <c r="B13" s="3"/>
      <c r="C13" s="3"/>
      <c r="D13" s="3"/>
      <c r="E13" s="3"/>
      <c r="F13" s="3"/>
    </row>
    <row r="14" customFormat="false" ht="15" hidden="false" customHeight="false" outlineLevel="0" collapsed="false">
      <c r="A14" s="4" t="s">
        <v>125</v>
      </c>
      <c r="B14" s="4" t="s">
        <v>41</v>
      </c>
      <c r="C14" s="4" t="s">
        <v>126</v>
      </c>
    </row>
    <row r="15" customFormat="false" ht="15" hidden="false" customHeight="false" outlineLevel="0" collapsed="false">
      <c r="A15" s="18" t="s">
        <v>127</v>
      </c>
      <c r="B15" s="31" t="n">
        <v>58287</v>
      </c>
      <c r="C15" s="19" t="n">
        <v>0.515814159292035</v>
      </c>
    </row>
    <row r="16" customFormat="false" ht="15" hidden="false" customHeight="false" outlineLevel="0" collapsed="false">
      <c r="A16" s="20" t="s">
        <v>128</v>
      </c>
      <c r="B16" s="34" t="n">
        <v>54713</v>
      </c>
      <c r="C16" s="21" t="n">
        <v>0.484185840707965</v>
      </c>
    </row>
    <row r="19" customFormat="false" ht="15" hidden="false" customHeight="true" outlineLevel="0" collapsed="false">
      <c r="A19" s="3" t="s">
        <v>129</v>
      </c>
      <c r="B19" s="3"/>
      <c r="C19" s="3"/>
      <c r="D19" s="3"/>
      <c r="E19" s="3"/>
      <c r="F19" s="3"/>
    </row>
    <row r="20" customFormat="false" ht="15" hidden="false" customHeight="false" outlineLevel="0" collapsed="false">
      <c r="A20" s="4" t="s">
        <v>130</v>
      </c>
      <c r="B20" s="4" t="s">
        <v>41</v>
      </c>
      <c r="C20" s="4" t="s">
        <v>126</v>
      </c>
    </row>
    <row r="21" customFormat="false" ht="15" hidden="false" customHeight="false" outlineLevel="0" collapsed="false">
      <c r="A21" s="47" t="s">
        <v>131</v>
      </c>
      <c r="B21" s="48" t="n">
        <v>26661</v>
      </c>
      <c r="C21" s="46" t="n">
        <v>0.235938053097345</v>
      </c>
    </row>
    <row r="22" customFormat="false" ht="15" hidden="false" customHeight="false" outlineLevel="0" collapsed="false">
      <c r="A22" s="47" t="s">
        <v>132</v>
      </c>
      <c r="B22" s="48" t="n">
        <v>26703</v>
      </c>
      <c r="C22" s="46" t="n">
        <v>0.236309734513274</v>
      </c>
    </row>
    <row r="23" customFormat="false" ht="15" hidden="false" customHeight="false" outlineLevel="0" collapsed="false">
      <c r="A23" s="6" t="s">
        <v>133</v>
      </c>
      <c r="B23" s="31" t="n">
        <v>26624</v>
      </c>
      <c r="C23" s="19" t="n">
        <v>0.235610619469027</v>
      </c>
    </row>
    <row r="24" customFormat="false" ht="15" hidden="false" customHeight="false" outlineLevel="0" collapsed="false">
      <c r="A24" s="27" t="s">
        <v>134</v>
      </c>
      <c r="B24" s="49" t="n">
        <v>16517</v>
      </c>
      <c r="C24" s="50" t="n">
        <v>0.14616814159292</v>
      </c>
    </row>
    <row r="25" customFormat="false" ht="15" hidden="false" customHeight="false" outlineLevel="0" collapsed="false">
      <c r="A25" s="27" t="s">
        <v>135</v>
      </c>
      <c r="B25" s="49" t="n">
        <v>16495</v>
      </c>
      <c r="C25" s="50" t="n">
        <v>0.145973451327434</v>
      </c>
    </row>
  </sheetData>
  <mergeCells count="4">
    <mergeCell ref="A1:F1"/>
    <mergeCell ref="A3:F3"/>
    <mergeCell ref="A13:F13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2026-06-12T04:40:43Z</dcterms:created>
  <dc:creator>openpyxl</dc:creator>
  <dc:description/>
  <dc:language>en-US</dc:language>
  <cp:lastModifiedBy/>
  <dcterms:modified xsi:type="dcterms:W3CDTF">2026-06-12T04:40:43Z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